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lai Awal" sheetId="1" r:id="rId4"/>
    <sheet state="visible" name="Stepping Stone" sheetId="2" r:id="rId5"/>
    <sheet state="visible" name="MODI" sheetId="3" r:id="rId6"/>
  </sheets>
  <definedNames/>
  <calcPr/>
</workbook>
</file>

<file path=xl/sharedStrings.xml><?xml version="1.0" encoding="utf-8"?>
<sst xmlns="http://schemas.openxmlformats.org/spreadsheetml/2006/main" count="358" uniqueCount="118">
  <si>
    <t>Gudang 1</t>
  </si>
  <si>
    <t>C1</t>
  </si>
  <si>
    <t>Gudang 2</t>
  </si>
  <si>
    <t>C2</t>
  </si>
  <si>
    <t>Gudang 3</t>
  </si>
  <si>
    <t>C3</t>
  </si>
  <si>
    <t>Supply</t>
  </si>
  <si>
    <t>Pabrik 1</t>
  </si>
  <si>
    <t>Pabrik 2</t>
  </si>
  <si>
    <t>Pabrik 3</t>
  </si>
  <si>
    <t>Demand</t>
  </si>
  <si>
    <t>Metode Sudut Barat Laut (Northwest Corner)</t>
  </si>
  <si>
    <t>x</t>
  </si>
  <si>
    <t>Total Biaya</t>
  </si>
  <si>
    <t>(150*6)+(50*7)+(100*11)+(25*11)+(275*12)</t>
  </si>
  <si>
    <t>Metode Biaya Terendah (Least Cost)</t>
  </si>
  <si>
    <t>(200*4)+(25*8)+(75*5)+(125*10)+(175*11)</t>
  </si>
  <si>
    <t>Metode Aproksimasi Vogel (VAM)</t>
  </si>
  <si>
    <t>Baris</t>
  </si>
  <si>
    <t>8-6=2</t>
  </si>
  <si>
    <t>11-7=4</t>
  </si>
  <si>
    <t>5-4=1</t>
  </si>
  <si>
    <t>Kolom</t>
  </si>
  <si>
    <t>6-4=2</t>
  </si>
  <si>
    <t>8-5=3</t>
  </si>
  <si>
    <t>11-10=1</t>
  </si>
  <si>
    <t>-</t>
  </si>
  <si>
    <t>12-10=2</t>
  </si>
  <si>
    <t>10-6=4</t>
  </si>
  <si>
    <t>12-4=8</t>
  </si>
  <si>
    <t>(175*7)+(25*4)+(100*5)+(150*10)+(150*12)</t>
  </si>
  <si>
    <t>6-8+5-4</t>
  </si>
  <si>
    <t>7-4+5-8+10-11</t>
  </si>
  <si>
    <t>11-11+10-8</t>
  </si>
  <si>
    <t>12-10+8-5</t>
  </si>
  <si>
    <t>Pilih Negatif Terkecil</t>
  </si>
  <si>
    <t xml:space="preserve"> </t>
  </si>
  <si>
    <t>25-25=0</t>
  </si>
  <si>
    <t>Di Cek kembali, kolom kosong masih ada yang negatif atau tidak</t>
  </si>
  <si>
    <t>7-6+8-5+4</t>
  </si>
  <si>
    <t>11-11+10-6+4-5</t>
  </si>
  <si>
    <t>12-10+6-4</t>
  </si>
  <si>
    <t>Biaya Optimal</t>
  </si>
  <si>
    <t>(25*6)+(175*4)+(100*5)+(125*10)+(175*11)</t>
  </si>
  <si>
    <t>1. Tentukan Nilai Awal</t>
  </si>
  <si>
    <t>v1</t>
  </si>
  <si>
    <t>v2</t>
  </si>
  <si>
    <t>v3</t>
  </si>
  <si>
    <t>3. Perubahan Biaya u/ sel kosong</t>
  </si>
  <si>
    <t>K1.1</t>
  </si>
  <si>
    <t>C1.1-u1-v1</t>
  </si>
  <si>
    <t>6-0-7</t>
  </si>
  <si>
    <t>u1=0</t>
  </si>
  <si>
    <t>K2.1</t>
  </si>
  <si>
    <t>C2.1-u2-v1</t>
  </si>
  <si>
    <t>7-1-7</t>
  </si>
  <si>
    <t>u2</t>
  </si>
  <si>
    <t>K2.2</t>
  </si>
  <si>
    <t>C2.2-u2-v2</t>
  </si>
  <si>
    <t>11-1-8</t>
  </si>
  <si>
    <t>u3</t>
  </si>
  <si>
    <t>K3.3</t>
  </si>
  <si>
    <t>C3.3-u3-v3</t>
  </si>
  <si>
    <t>12-(-3)-10</t>
  </si>
  <si>
    <t>4. Cari  nilai K yang paling negatif</t>
  </si>
  <si>
    <t>2. Cost Transportasi</t>
  </si>
  <si>
    <t>C1.2</t>
  </si>
  <si>
    <t>u1+v2</t>
  </si>
  <si>
    <t>8=0+v2</t>
  </si>
  <si>
    <t>v2=8</t>
  </si>
  <si>
    <t>+6-4+5-8</t>
  </si>
  <si>
    <t>Lakukan Stepping Stone</t>
  </si>
  <si>
    <t>C1.3</t>
  </si>
  <si>
    <t>u1+v3</t>
  </si>
  <si>
    <t>10=0+v3</t>
  </si>
  <si>
    <t>v3=10</t>
  </si>
  <si>
    <t>+2.1 -&gt; -3.1 -&gt; +3.2 -&gt; -1.2 -&gt; +1.3 -&gt; -2.3</t>
  </si>
  <si>
    <t>C2.3</t>
  </si>
  <si>
    <t>u2+v3</t>
  </si>
  <si>
    <t>11=u2+10</t>
  </si>
  <si>
    <t>u2=1</t>
  </si>
  <si>
    <t>Cari kolom negati yang kecil</t>
  </si>
  <si>
    <t>-3.1</t>
  </si>
  <si>
    <t>C3.1</t>
  </si>
  <si>
    <t>u3+v1</t>
  </si>
  <si>
    <t>4=-3+v1</t>
  </si>
  <si>
    <t>v1=7</t>
  </si>
  <si>
    <t>-1.2</t>
  </si>
  <si>
    <t>C3.2</t>
  </si>
  <si>
    <t>u3+v2</t>
  </si>
  <si>
    <t>5=u3+8</t>
  </si>
  <si>
    <t>u3=-3</t>
  </si>
  <si>
    <t>-2.3</t>
  </si>
  <si>
    <t>Isi kolom 2.1 dengan 25</t>
  </si>
  <si>
    <t>6-0-6</t>
  </si>
  <si>
    <t>K1.2</t>
  </si>
  <si>
    <t>C1.2-u1-v2</t>
  </si>
  <si>
    <t>8-0-7</t>
  </si>
  <si>
    <t>11-1-7</t>
  </si>
  <si>
    <t>12-(-2)-10</t>
  </si>
  <si>
    <t>Tidak ada yang nilainya negatif</t>
  </si>
  <si>
    <t>C2.1</t>
  </si>
  <si>
    <t>u2+v1</t>
  </si>
  <si>
    <t>7=1+v1</t>
  </si>
  <si>
    <t>v1=6</t>
  </si>
  <si>
    <t>(150*10)+(25*7)+(150*11)+(175*4)+(100*5)</t>
  </si>
  <si>
    <t>4=u3+6</t>
  </si>
  <si>
    <t>u3=-2</t>
  </si>
  <si>
    <t>5=-2+v2</t>
  </si>
  <si>
    <t>v2=7</t>
  </si>
  <si>
    <t>c2.1-u2-v1</t>
  </si>
  <si>
    <t>7-1-6</t>
  </si>
  <si>
    <t>c2.2-u2-v2</t>
  </si>
  <si>
    <t>c3.3-u3-v3</t>
  </si>
  <si>
    <t>12--2-10</t>
  </si>
  <si>
    <t>u1+v1</t>
  </si>
  <si>
    <t>6=0+v1</t>
  </si>
  <si>
    <t>u3= 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</si>
</sst>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p]#,##0"/>
    <numFmt numFmtId="165" formatCode="d.m"/>
  </numFmts>
  <fonts count="5">
    <font>
      <sz val="10.0"/>
      <color rgb="FF000000"/>
      <name val="Arial"/>
      <scheme val="minor"/>
    </font>
    <font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2" fontId="3" numFmtId="0" xfId="0" applyAlignment="1" applyFill="1" applyFont="1">
      <alignment horizontal="center" readingOrder="0" vertical="bottom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horizontal="center" vertical="bottom"/>
    </xf>
    <xf borderId="0" fillId="3" fontId="3" numFmtId="0" xfId="0" applyAlignment="1" applyFill="1" applyFont="1">
      <alignment horizontal="center" vertical="bottom"/>
    </xf>
    <xf borderId="0" fillId="4" fontId="3" numFmtId="0" xfId="0" applyAlignment="1" applyFill="1" applyFont="1">
      <alignment horizontal="center" vertical="bottom"/>
    </xf>
    <xf borderId="0" fillId="5" fontId="3" numFmtId="0" xfId="0" applyAlignment="1" applyFill="1" applyFont="1">
      <alignment horizontal="center" vertical="bottom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6" fontId="2" numFmtId="0" xfId="0" applyFill="1" applyFont="1"/>
    <xf borderId="0" fillId="7" fontId="2" numFmtId="0" xfId="0" applyFill="1" applyFont="1"/>
    <xf borderId="0" fillId="0" fontId="4" numFmtId="0" xfId="0" applyAlignment="1" applyFont="1">
      <alignment readingOrder="0"/>
    </xf>
    <xf borderId="1" fillId="2" fontId="1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 vertical="bottom"/>
    </xf>
    <xf borderId="1" fillId="6" fontId="1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1" fillId="0" fontId="2" numFmtId="0" xfId="0" applyBorder="1" applyFont="1"/>
    <xf borderId="0" fillId="0" fontId="4" numFmtId="165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2" numFmtId="49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1" fillId="7" fontId="1" numFmtId="0" xfId="0" applyAlignment="1" applyBorder="1" applyFont="1">
      <alignment horizontal="center" readingOrder="0"/>
    </xf>
    <xf borderId="1" fillId="7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88"/>
    <col customWidth="1" min="5" max="5" width="4.5"/>
    <col customWidth="1" min="7" max="7" width="4.13"/>
    <col customWidth="1" min="9" max="9" width="6.13"/>
  </cols>
  <sheetData>
    <row r="2">
      <c r="A2" s="1"/>
      <c r="B2" s="2" t="s">
        <v>0</v>
      </c>
      <c r="C2" s="3" t="s">
        <v>1</v>
      </c>
      <c r="D2" s="2" t="s">
        <v>2</v>
      </c>
      <c r="E2" s="3" t="s">
        <v>3</v>
      </c>
      <c r="F2" s="2" t="s">
        <v>4</v>
      </c>
      <c r="G2" s="3" t="s">
        <v>5</v>
      </c>
      <c r="H2" s="2" t="s">
        <v>6</v>
      </c>
      <c r="I2" s="4">
        <v>1.0</v>
      </c>
      <c r="J2" s="5"/>
    </row>
    <row r="3">
      <c r="A3" s="6" t="s">
        <v>7</v>
      </c>
      <c r="B3" s="2"/>
      <c r="C3" s="7">
        <v>6.0</v>
      </c>
      <c r="D3" s="2"/>
      <c r="E3" s="7">
        <v>8.0</v>
      </c>
      <c r="F3" s="2"/>
      <c r="G3" s="7">
        <v>10.0</v>
      </c>
      <c r="H3" s="2">
        <v>150.0</v>
      </c>
      <c r="I3" s="4">
        <v>2.0</v>
      </c>
      <c r="J3" s="8"/>
    </row>
    <row r="4">
      <c r="A4" s="6" t="s">
        <v>8</v>
      </c>
      <c r="B4" s="2"/>
      <c r="C4" s="7">
        <v>7.0</v>
      </c>
      <c r="D4" s="2"/>
      <c r="E4" s="7">
        <v>11.0</v>
      </c>
      <c r="F4" s="2"/>
      <c r="G4" s="7">
        <v>11.0</v>
      </c>
      <c r="H4" s="2">
        <v>175.0</v>
      </c>
      <c r="I4" s="4">
        <v>3.0</v>
      </c>
      <c r="J4" s="9"/>
    </row>
    <row r="5">
      <c r="A5" s="6" t="s">
        <v>9</v>
      </c>
      <c r="B5" s="2"/>
      <c r="C5" s="7">
        <v>4.0</v>
      </c>
      <c r="D5" s="2"/>
      <c r="E5" s="7">
        <v>5.0</v>
      </c>
      <c r="F5" s="2"/>
      <c r="G5" s="7">
        <v>12.0</v>
      </c>
      <c r="H5" s="2">
        <v>275.0</v>
      </c>
      <c r="I5" s="4">
        <v>4.0</v>
      </c>
      <c r="J5" s="10"/>
    </row>
    <row r="6">
      <c r="A6" s="6" t="s">
        <v>10</v>
      </c>
      <c r="B6" s="2">
        <v>200.0</v>
      </c>
      <c r="C6" s="11"/>
      <c r="D6" s="2">
        <v>100.0</v>
      </c>
      <c r="E6" s="11"/>
      <c r="F6" s="2">
        <v>300.0</v>
      </c>
      <c r="G6" s="11"/>
      <c r="H6" s="12"/>
      <c r="I6" s="13">
        <v>5.0</v>
      </c>
      <c r="J6" s="14"/>
    </row>
    <row r="7">
      <c r="I7" s="13">
        <v>6.0</v>
      </c>
      <c r="J7" s="15"/>
    </row>
    <row r="9">
      <c r="A9" s="16" t="s">
        <v>11</v>
      </c>
    </row>
    <row r="11">
      <c r="A11" s="1"/>
      <c r="B11" s="2" t="s">
        <v>0</v>
      </c>
      <c r="C11" s="3" t="s">
        <v>1</v>
      </c>
      <c r="D11" s="2" t="s">
        <v>2</v>
      </c>
      <c r="E11" s="3" t="s">
        <v>3</v>
      </c>
      <c r="F11" s="2" t="s">
        <v>4</v>
      </c>
      <c r="G11" s="3" t="s">
        <v>5</v>
      </c>
      <c r="H11" s="2" t="s">
        <v>6</v>
      </c>
    </row>
    <row r="12">
      <c r="A12" s="6" t="s">
        <v>7</v>
      </c>
      <c r="B12" s="17">
        <v>150.0</v>
      </c>
      <c r="C12" s="18">
        <v>6.0</v>
      </c>
      <c r="D12" s="2" t="s">
        <v>12</v>
      </c>
      <c r="E12" s="7">
        <v>8.0</v>
      </c>
      <c r="F12" s="2" t="s">
        <v>12</v>
      </c>
      <c r="G12" s="7">
        <v>10.0</v>
      </c>
      <c r="H12" s="2">
        <v>0.0</v>
      </c>
    </row>
    <row r="13">
      <c r="A13" s="6" t="s">
        <v>8</v>
      </c>
      <c r="B13" s="19">
        <v>50.0</v>
      </c>
      <c r="C13" s="20">
        <v>7.0</v>
      </c>
      <c r="D13" s="21">
        <v>100.0</v>
      </c>
      <c r="E13" s="22">
        <v>11.0</v>
      </c>
      <c r="F13" s="23">
        <v>25.0</v>
      </c>
      <c r="G13" s="24">
        <v>11.0</v>
      </c>
      <c r="H13" s="2">
        <v>0.0</v>
      </c>
    </row>
    <row r="14">
      <c r="A14" s="6" t="s">
        <v>9</v>
      </c>
      <c r="B14" s="2" t="s">
        <v>12</v>
      </c>
      <c r="C14" s="7">
        <v>4.0</v>
      </c>
      <c r="D14" s="2" t="s">
        <v>12</v>
      </c>
      <c r="E14" s="7">
        <v>5.0</v>
      </c>
      <c r="F14" s="25">
        <v>275.0</v>
      </c>
      <c r="G14" s="26">
        <v>12.0</v>
      </c>
      <c r="H14" s="2">
        <v>0.0</v>
      </c>
    </row>
    <row r="15">
      <c r="A15" s="6" t="s">
        <v>10</v>
      </c>
      <c r="B15" s="2">
        <v>0.0</v>
      </c>
      <c r="C15" s="11"/>
      <c r="D15" s="2">
        <v>0.0</v>
      </c>
      <c r="E15" s="11"/>
      <c r="F15" s="2">
        <v>0.0</v>
      </c>
      <c r="G15" s="11"/>
      <c r="H15" s="12"/>
    </row>
    <row r="17">
      <c r="A17" s="27" t="s">
        <v>13</v>
      </c>
      <c r="B17" s="28" t="s">
        <v>14</v>
      </c>
    </row>
    <row r="18">
      <c r="B18" s="29">
        <f>(150*6)+(50*7)+(100*11)+(25*11)+(275*12)</f>
        <v>5925</v>
      </c>
    </row>
    <row r="21">
      <c r="A21" s="16" t="s">
        <v>15</v>
      </c>
    </row>
    <row r="23">
      <c r="A23" s="1"/>
      <c r="B23" s="2" t="s">
        <v>0</v>
      </c>
      <c r="C23" s="3" t="s">
        <v>1</v>
      </c>
      <c r="D23" s="2" t="s">
        <v>2</v>
      </c>
      <c r="E23" s="3" t="s">
        <v>3</v>
      </c>
      <c r="F23" s="2" t="s">
        <v>4</v>
      </c>
      <c r="G23" s="3" t="s">
        <v>5</v>
      </c>
      <c r="H23" s="2" t="s">
        <v>6</v>
      </c>
    </row>
    <row r="24">
      <c r="A24" s="6" t="s">
        <v>7</v>
      </c>
      <c r="B24" s="2" t="s">
        <v>12</v>
      </c>
      <c r="C24" s="7">
        <v>6.0</v>
      </c>
      <c r="D24" s="21">
        <v>25.0</v>
      </c>
      <c r="E24" s="22">
        <v>8.0</v>
      </c>
      <c r="F24" s="23">
        <v>125.0</v>
      </c>
      <c r="G24" s="24">
        <v>10.0</v>
      </c>
      <c r="H24" s="2">
        <v>0.0</v>
      </c>
    </row>
    <row r="25">
      <c r="A25" s="6" t="s">
        <v>8</v>
      </c>
      <c r="B25" s="2" t="s">
        <v>12</v>
      </c>
      <c r="C25" s="7">
        <v>7.0</v>
      </c>
      <c r="D25" s="2" t="s">
        <v>12</v>
      </c>
      <c r="E25" s="7">
        <v>11.0</v>
      </c>
      <c r="F25" s="25">
        <v>175.0</v>
      </c>
      <c r="G25" s="26">
        <v>11.0</v>
      </c>
      <c r="H25" s="2">
        <v>0.0</v>
      </c>
    </row>
    <row r="26">
      <c r="A26" s="6" t="s">
        <v>9</v>
      </c>
      <c r="B26" s="17">
        <v>200.0</v>
      </c>
      <c r="C26" s="18">
        <v>4.0</v>
      </c>
      <c r="D26" s="19">
        <v>75.0</v>
      </c>
      <c r="E26" s="20">
        <v>5.0</v>
      </c>
      <c r="F26" s="2" t="s">
        <v>12</v>
      </c>
      <c r="G26" s="7">
        <v>12.0</v>
      </c>
      <c r="H26" s="2">
        <v>0.0</v>
      </c>
    </row>
    <row r="27">
      <c r="A27" s="6" t="s">
        <v>10</v>
      </c>
      <c r="B27" s="2">
        <v>0.0</v>
      </c>
      <c r="C27" s="30"/>
      <c r="D27" s="2">
        <v>0.0</v>
      </c>
      <c r="E27" s="30"/>
      <c r="F27" s="2">
        <v>0.0</v>
      </c>
      <c r="G27" s="30"/>
      <c r="H27" s="1"/>
    </row>
    <row r="29">
      <c r="A29" s="27" t="s">
        <v>13</v>
      </c>
      <c r="B29" s="28" t="s">
        <v>16</v>
      </c>
    </row>
    <row r="30">
      <c r="B30" s="29">
        <f>(200*4)+(25*8)+(75*5)+(125*10)+(175*11)</f>
        <v>4550</v>
      </c>
    </row>
    <row r="33">
      <c r="A33" s="16" t="s">
        <v>17</v>
      </c>
    </row>
    <row r="34">
      <c r="J34" s="27" t="s">
        <v>18</v>
      </c>
    </row>
    <row r="35">
      <c r="A35" s="1"/>
      <c r="B35" s="2" t="s">
        <v>0</v>
      </c>
      <c r="C35" s="3" t="s">
        <v>1</v>
      </c>
      <c r="D35" s="2" t="s">
        <v>2</v>
      </c>
      <c r="E35" s="3" t="s">
        <v>3</v>
      </c>
      <c r="F35" s="2" t="s">
        <v>4</v>
      </c>
      <c r="G35" s="3" t="s">
        <v>5</v>
      </c>
      <c r="H35" s="2" t="s">
        <v>6</v>
      </c>
    </row>
    <row r="36">
      <c r="A36" s="6" t="s">
        <v>7</v>
      </c>
      <c r="B36" s="2"/>
      <c r="C36" s="7">
        <v>6.0</v>
      </c>
      <c r="D36" s="2"/>
      <c r="E36" s="7">
        <v>8.0</v>
      </c>
      <c r="F36" s="2"/>
      <c r="G36" s="7">
        <v>10.0</v>
      </c>
      <c r="H36" s="2">
        <v>150.0</v>
      </c>
      <c r="J36" s="27" t="s">
        <v>19</v>
      </c>
    </row>
    <row r="37">
      <c r="A37" s="6" t="s">
        <v>8</v>
      </c>
      <c r="B37" s="2">
        <v>175.0</v>
      </c>
      <c r="C37" s="7">
        <v>7.0</v>
      </c>
      <c r="D37" s="2" t="s">
        <v>12</v>
      </c>
      <c r="E37" s="7">
        <v>11.0</v>
      </c>
      <c r="F37" s="2" t="s">
        <v>12</v>
      </c>
      <c r="G37" s="7">
        <v>11.0</v>
      </c>
      <c r="H37" s="2">
        <v>0.0</v>
      </c>
      <c r="J37" s="16" t="s">
        <v>20</v>
      </c>
    </row>
    <row r="38">
      <c r="A38" s="6" t="s">
        <v>9</v>
      </c>
      <c r="B38" s="2"/>
      <c r="C38" s="7">
        <v>4.0</v>
      </c>
      <c r="D38" s="2"/>
      <c r="E38" s="7">
        <v>5.0</v>
      </c>
      <c r="F38" s="2"/>
      <c r="G38" s="7">
        <v>12.0</v>
      </c>
      <c r="H38" s="2">
        <v>275.0</v>
      </c>
      <c r="J38" s="27" t="s">
        <v>21</v>
      </c>
    </row>
    <row r="39">
      <c r="A39" s="6" t="s">
        <v>10</v>
      </c>
      <c r="B39" s="2">
        <v>25.0</v>
      </c>
      <c r="C39" s="11"/>
      <c r="D39" s="2">
        <v>100.0</v>
      </c>
      <c r="E39" s="11"/>
      <c r="F39" s="2">
        <v>300.0</v>
      </c>
      <c r="G39" s="11"/>
      <c r="H39" s="12"/>
    </row>
    <row r="41">
      <c r="A41" s="27" t="s">
        <v>22</v>
      </c>
      <c r="B41" s="27" t="s">
        <v>23</v>
      </c>
      <c r="D41" s="27" t="s">
        <v>24</v>
      </c>
      <c r="F41" s="27" t="s">
        <v>25</v>
      </c>
    </row>
    <row r="43">
      <c r="J43" s="27" t="s">
        <v>18</v>
      </c>
    </row>
    <row r="44">
      <c r="A44" s="1"/>
      <c r="B44" s="2" t="s">
        <v>0</v>
      </c>
      <c r="C44" s="3" t="s">
        <v>1</v>
      </c>
      <c r="D44" s="2" t="s">
        <v>2</v>
      </c>
      <c r="E44" s="3" t="s">
        <v>3</v>
      </c>
      <c r="F44" s="2" t="s">
        <v>4</v>
      </c>
      <c r="G44" s="3" t="s">
        <v>5</v>
      </c>
      <c r="H44" s="2" t="s">
        <v>6</v>
      </c>
    </row>
    <row r="45">
      <c r="A45" s="6" t="s">
        <v>7</v>
      </c>
      <c r="B45" s="2"/>
      <c r="C45" s="7">
        <v>6.0</v>
      </c>
      <c r="D45" s="2" t="s">
        <v>12</v>
      </c>
      <c r="E45" s="7">
        <v>8.0</v>
      </c>
      <c r="F45" s="2"/>
      <c r="G45" s="7">
        <v>10.0</v>
      </c>
      <c r="H45" s="2">
        <v>150.0</v>
      </c>
      <c r="J45" s="27" t="s">
        <v>19</v>
      </c>
      <c r="K45" s="27" t="s">
        <v>19</v>
      </c>
    </row>
    <row r="46">
      <c r="A46" s="6" t="s">
        <v>8</v>
      </c>
      <c r="B46" s="2">
        <v>175.0</v>
      </c>
      <c r="C46" s="7">
        <v>7.0</v>
      </c>
      <c r="D46" s="2" t="s">
        <v>12</v>
      </c>
      <c r="E46" s="7">
        <v>11.0</v>
      </c>
      <c r="F46" s="2" t="s">
        <v>12</v>
      </c>
      <c r="G46" s="7">
        <v>11.0</v>
      </c>
      <c r="H46" s="2">
        <v>0.0</v>
      </c>
      <c r="J46" s="27" t="s">
        <v>20</v>
      </c>
      <c r="K46" s="27" t="s">
        <v>26</v>
      </c>
    </row>
    <row r="47">
      <c r="A47" s="6" t="s">
        <v>9</v>
      </c>
      <c r="B47" s="2"/>
      <c r="C47" s="7">
        <v>4.0</v>
      </c>
      <c r="D47" s="2">
        <v>100.0</v>
      </c>
      <c r="E47" s="7">
        <v>5.0</v>
      </c>
      <c r="F47" s="2"/>
      <c r="G47" s="7">
        <v>12.0</v>
      </c>
      <c r="H47" s="2">
        <v>175.0</v>
      </c>
      <c r="J47" s="27" t="s">
        <v>21</v>
      </c>
      <c r="K47" s="27" t="s">
        <v>21</v>
      </c>
    </row>
    <row r="48">
      <c r="A48" s="6" t="s">
        <v>10</v>
      </c>
      <c r="B48" s="2">
        <v>25.0</v>
      </c>
      <c r="C48" s="11"/>
      <c r="D48" s="2">
        <v>0.0</v>
      </c>
      <c r="E48" s="11"/>
      <c r="F48" s="2">
        <v>300.0</v>
      </c>
      <c r="G48" s="11"/>
      <c r="H48" s="12"/>
    </row>
    <row r="50">
      <c r="A50" s="27" t="s">
        <v>22</v>
      </c>
      <c r="B50" s="27" t="s">
        <v>23</v>
      </c>
      <c r="D50" s="27" t="s">
        <v>24</v>
      </c>
      <c r="F50" s="27" t="s">
        <v>25</v>
      </c>
    </row>
    <row r="51">
      <c r="B51" s="27" t="s">
        <v>23</v>
      </c>
      <c r="D51" s="16" t="s">
        <v>24</v>
      </c>
      <c r="F51" s="27" t="s">
        <v>27</v>
      </c>
    </row>
    <row r="53">
      <c r="J53" s="27" t="s">
        <v>18</v>
      </c>
    </row>
    <row r="54">
      <c r="A54" s="1"/>
      <c r="B54" s="2" t="s">
        <v>0</v>
      </c>
      <c r="C54" s="3" t="s">
        <v>1</v>
      </c>
      <c r="D54" s="2" t="s">
        <v>2</v>
      </c>
      <c r="E54" s="3" t="s">
        <v>3</v>
      </c>
      <c r="F54" s="2" t="s">
        <v>4</v>
      </c>
      <c r="G54" s="3" t="s">
        <v>5</v>
      </c>
      <c r="H54" s="2" t="s">
        <v>6</v>
      </c>
    </row>
    <row r="55">
      <c r="A55" s="6" t="s">
        <v>7</v>
      </c>
      <c r="B55" s="2" t="s">
        <v>12</v>
      </c>
      <c r="C55" s="7">
        <v>6.0</v>
      </c>
      <c r="D55" s="2" t="s">
        <v>12</v>
      </c>
      <c r="E55" s="7">
        <v>8.0</v>
      </c>
      <c r="F55" s="2"/>
      <c r="G55" s="7">
        <v>10.0</v>
      </c>
      <c r="H55" s="2">
        <v>150.0</v>
      </c>
      <c r="J55" s="27" t="s">
        <v>19</v>
      </c>
      <c r="K55" s="27" t="s">
        <v>19</v>
      </c>
      <c r="L55" s="27" t="s">
        <v>28</v>
      </c>
    </row>
    <row r="56">
      <c r="A56" s="6" t="s">
        <v>8</v>
      </c>
      <c r="B56" s="2">
        <v>175.0</v>
      </c>
      <c r="C56" s="7">
        <v>7.0</v>
      </c>
      <c r="D56" s="2" t="s">
        <v>12</v>
      </c>
      <c r="E56" s="7">
        <v>11.0</v>
      </c>
      <c r="F56" s="2" t="s">
        <v>12</v>
      </c>
      <c r="G56" s="7">
        <v>11.0</v>
      </c>
      <c r="H56" s="2">
        <v>0.0</v>
      </c>
      <c r="J56" s="27" t="s">
        <v>20</v>
      </c>
      <c r="K56" s="27" t="s">
        <v>26</v>
      </c>
      <c r="L56" s="27" t="s">
        <v>26</v>
      </c>
    </row>
    <row r="57">
      <c r="A57" s="6" t="s">
        <v>9</v>
      </c>
      <c r="B57" s="2">
        <v>25.0</v>
      </c>
      <c r="C57" s="7">
        <v>4.0</v>
      </c>
      <c r="D57" s="2">
        <v>100.0</v>
      </c>
      <c r="E57" s="7">
        <v>5.0</v>
      </c>
      <c r="F57" s="2"/>
      <c r="G57" s="7">
        <v>12.0</v>
      </c>
      <c r="H57" s="2">
        <v>150.0</v>
      </c>
      <c r="J57" s="27" t="s">
        <v>21</v>
      </c>
      <c r="K57" s="27" t="s">
        <v>21</v>
      </c>
      <c r="L57" s="16" t="s">
        <v>29</v>
      </c>
    </row>
    <row r="58">
      <c r="A58" s="6" t="s">
        <v>10</v>
      </c>
      <c r="B58" s="2">
        <v>0.0</v>
      </c>
      <c r="C58" s="11"/>
      <c r="D58" s="2">
        <v>0.0</v>
      </c>
      <c r="E58" s="11"/>
      <c r="F58" s="2">
        <v>300.0</v>
      </c>
      <c r="G58" s="11"/>
      <c r="H58" s="12"/>
    </row>
    <row r="60">
      <c r="A60" s="27" t="s">
        <v>22</v>
      </c>
      <c r="B60" s="27" t="s">
        <v>23</v>
      </c>
      <c r="D60" s="27" t="s">
        <v>24</v>
      </c>
      <c r="F60" s="27" t="s">
        <v>25</v>
      </c>
    </row>
    <row r="61">
      <c r="B61" s="27" t="s">
        <v>23</v>
      </c>
      <c r="D61" s="27" t="s">
        <v>24</v>
      </c>
      <c r="F61" s="27" t="s">
        <v>27</v>
      </c>
    </row>
    <row r="62">
      <c r="B62" s="27" t="s">
        <v>23</v>
      </c>
      <c r="D62" s="27" t="s">
        <v>26</v>
      </c>
      <c r="F62" s="27" t="s">
        <v>27</v>
      </c>
    </row>
    <row r="64">
      <c r="J64" s="27" t="s">
        <v>18</v>
      </c>
    </row>
    <row r="65">
      <c r="A65" s="1"/>
      <c r="B65" s="2" t="s">
        <v>0</v>
      </c>
      <c r="C65" s="3" t="s">
        <v>1</v>
      </c>
      <c r="D65" s="2" t="s">
        <v>2</v>
      </c>
      <c r="E65" s="3" t="s">
        <v>3</v>
      </c>
      <c r="F65" s="2" t="s">
        <v>4</v>
      </c>
      <c r="G65" s="3" t="s">
        <v>5</v>
      </c>
      <c r="H65" s="2" t="s">
        <v>6</v>
      </c>
    </row>
    <row r="66">
      <c r="A66" s="6" t="s">
        <v>7</v>
      </c>
      <c r="B66" s="2" t="s">
        <v>12</v>
      </c>
      <c r="C66" s="7">
        <v>6.0</v>
      </c>
      <c r="D66" s="2" t="s">
        <v>12</v>
      </c>
      <c r="E66" s="7">
        <v>8.0</v>
      </c>
      <c r="F66" s="2">
        <v>150.0</v>
      </c>
      <c r="G66" s="7">
        <v>10.0</v>
      </c>
      <c r="H66" s="2">
        <v>0.0</v>
      </c>
      <c r="J66" s="27" t="s">
        <v>19</v>
      </c>
      <c r="K66" s="27" t="s">
        <v>19</v>
      </c>
      <c r="L66" s="27" t="s">
        <v>28</v>
      </c>
    </row>
    <row r="67">
      <c r="A67" s="6" t="s">
        <v>8</v>
      </c>
      <c r="B67" s="2">
        <v>175.0</v>
      </c>
      <c r="C67" s="7">
        <v>7.0</v>
      </c>
      <c r="D67" s="2" t="s">
        <v>12</v>
      </c>
      <c r="E67" s="7">
        <v>11.0</v>
      </c>
      <c r="F67" s="2" t="s">
        <v>12</v>
      </c>
      <c r="G67" s="7">
        <v>11.0</v>
      </c>
      <c r="H67" s="2">
        <v>0.0</v>
      </c>
      <c r="J67" s="27" t="s">
        <v>20</v>
      </c>
      <c r="K67" s="27" t="s">
        <v>26</v>
      </c>
      <c r="L67" s="27" t="s">
        <v>26</v>
      </c>
    </row>
    <row r="68">
      <c r="A68" s="6" t="s">
        <v>9</v>
      </c>
      <c r="B68" s="2">
        <v>25.0</v>
      </c>
      <c r="C68" s="7">
        <v>4.0</v>
      </c>
      <c r="D68" s="2">
        <v>100.0</v>
      </c>
      <c r="E68" s="7">
        <v>5.0</v>
      </c>
      <c r="F68" s="2">
        <v>150.0</v>
      </c>
      <c r="G68" s="7">
        <v>12.0</v>
      </c>
      <c r="H68" s="2">
        <v>0.0</v>
      </c>
      <c r="J68" s="27" t="s">
        <v>21</v>
      </c>
      <c r="K68" s="27" t="s">
        <v>21</v>
      </c>
      <c r="L68" s="16" t="s">
        <v>29</v>
      </c>
    </row>
    <row r="69">
      <c r="A69" s="6" t="s">
        <v>10</v>
      </c>
      <c r="B69" s="2">
        <v>0.0</v>
      </c>
      <c r="C69" s="11"/>
      <c r="D69" s="2">
        <v>0.0</v>
      </c>
      <c r="E69" s="11"/>
      <c r="F69" s="2">
        <v>0.0</v>
      </c>
      <c r="G69" s="11"/>
      <c r="H69" s="12"/>
    </row>
    <row r="71">
      <c r="A71" s="27" t="s">
        <v>22</v>
      </c>
      <c r="B71" s="27" t="s">
        <v>23</v>
      </c>
      <c r="D71" s="27" t="s">
        <v>24</v>
      </c>
      <c r="F71" s="27" t="s">
        <v>25</v>
      </c>
    </row>
    <row r="72">
      <c r="B72" s="27" t="s">
        <v>23</v>
      </c>
      <c r="D72" s="27" t="s">
        <v>24</v>
      </c>
      <c r="F72" s="27" t="s">
        <v>27</v>
      </c>
    </row>
    <row r="73">
      <c r="B73" s="27" t="s">
        <v>23</v>
      </c>
      <c r="D73" s="27" t="s">
        <v>26</v>
      </c>
      <c r="F73" s="27" t="s">
        <v>27</v>
      </c>
    </row>
    <row r="75">
      <c r="A75" s="27" t="s">
        <v>13</v>
      </c>
      <c r="B75" s="27" t="s">
        <v>30</v>
      </c>
    </row>
    <row r="76">
      <c r="B76" s="29">
        <f>(175*7)+(25*4)+(100*5)+(150*10)+(150*12)</f>
        <v>5125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3.13"/>
    <col customWidth="1" min="6" max="6" width="3.13"/>
    <col customWidth="1" min="8" max="8" width="3.13"/>
  </cols>
  <sheetData>
    <row r="2">
      <c r="B2" s="1"/>
      <c r="C2" s="2" t="s">
        <v>0</v>
      </c>
      <c r="D2" s="3" t="s">
        <v>1</v>
      </c>
      <c r="E2" s="2" t="s">
        <v>2</v>
      </c>
      <c r="F2" s="3" t="s">
        <v>3</v>
      </c>
      <c r="G2" s="2" t="s">
        <v>4</v>
      </c>
      <c r="H2" s="3" t="s">
        <v>5</v>
      </c>
      <c r="I2" s="2" t="s">
        <v>6</v>
      </c>
    </row>
    <row r="3">
      <c r="B3" s="6" t="s">
        <v>7</v>
      </c>
      <c r="C3" s="2"/>
      <c r="D3" s="7">
        <v>6.0</v>
      </c>
      <c r="E3" s="21">
        <v>25.0</v>
      </c>
      <c r="F3" s="22">
        <v>8.0</v>
      </c>
      <c r="G3" s="23">
        <v>125.0</v>
      </c>
      <c r="H3" s="24">
        <v>10.0</v>
      </c>
      <c r="I3" s="2">
        <v>150.0</v>
      </c>
    </row>
    <row r="4">
      <c r="B4" s="6" t="s">
        <v>8</v>
      </c>
      <c r="C4" s="2"/>
      <c r="D4" s="7">
        <v>7.0</v>
      </c>
      <c r="E4" s="2"/>
      <c r="F4" s="7">
        <v>11.0</v>
      </c>
      <c r="G4" s="25">
        <v>175.0</v>
      </c>
      <c r="H4" s="26">
        <v>11.0</v>
      </c>
      <c r="I4" s="2">
        <v>175.0</v>
      </c>
    </row>
    <row r="5">
      <c r="B5" s="6" t="s">
        <v>9</v>
      </c>
      <c r="C5" s="17">
        <v>200.0</v>
      </c>
      <c r="D5" s="18">
        <v>4.0</v>
      </c>
      <c r="E5" s="19">
        <v>75.0</v>
      </c>
      <c r="F5" s="20">
        <v>5.0</v>
      </c>
      <c r="G5" s="2"/>
      <c r="H5" s="7">
        <v>12.0</v>
      </c>
      <c r="I5" s="2">
        <v>275.0</v>
      </c>
    </row>
    <row r="6">
      <c r="B6" s="6" t="s">
        <v>10</v>
      </c>
      <c r="C6" s="2">
        <v>200.0</v>
      </c>
      <c r="D6" s="30"/>
      <c r="E6" s="2">
        <v>100.0</v>
      </c>
      <c r="F6" s="30"/>
      <c r="G6" s="2">
        <v>300.0</v>
      </c>
      <c r="H6" s="30"/>
      <c r="I6" s="1"/>
    </row>
    <row r="9">
      <c r="A9" s="31">
        <v>45658.0</v>
      </c>
      <c r="B9" s="32" t="s">
        <v>31</v>
      </c>
      <c r="C9" s="32">
        <f>6-8+5-4</f>
        <v>-1</v>
      </c>
    </row>
    <row r="10">
      <c r="A10" s="33">
        <v>45659.0</v>
      </c>
      <c r="B10" s="13" t="s">
        <v>32</v>
      </c>
      <c r="C10" s="13">
        <f>7-4+5-8+10-11</f>
        <v>-1</v>
      </c>
    </row>
    <row r="11">
      <c r="A11" s="33">
        <v>45690.0</v>
      </c>
      <c r="B11" s="13" t="s">
        <v>33</v>
      </c>
      <c r="C11" s="13">
        <f>11-11+10-8</f>
        <v>2</v>
      </c>
    </row>
    <row r="12">
      <c r="A12" s="33">
        <v>45719.0</v>
      </c>
      <c r="B12" s="13" t="s">
        <v>34</v>
      </c>
      <c r="C12" s="13">
        <f>12-10+8-5</f>
        <v>5</v>
      </c>
    </row>
    <row r="14">
      <c r="A14" s="27" t="s">
        <v>35</v>
      </c>
      <c r="C14" s="27">
        <v>25.0</v>
      </c>
    </row>
    <row r="15">
      <c r="A15" s="34">
        <v>45658.0</v>
      </c>
      <c r="C15" s="35">
        <f>25</f>
        <v>25</v>
      </c>
    </row>
    <row r="16">
      <c r="C16" s="27" t="s">
        <v>36</v>
      </c>
    </row>
    <row r="18">
      <c r="B18" s="1"/>
      <c r="C18" s="2" t="s">
        <v>0</v>
      </c>
      <c r="D18" s="3" t="s">
        <v>1</v>
      </c>
      <c r="E18" s="2" t="s">
        <v>2</v>
      </c>
      <c r="F18" s="3" t="s">
        <v>3</v>
      </c>
      <c r="G18" s="2" t="s">
        <v>4</v>
      </c>
      <c r="H18" s="3" t="s">
        <v>5</v>
      </c>
      <c r="I18" s="2" t="s">
        <v>6</v>
      </c>
    </row>
    <row r="19">
      <c r="B19" s="6" t="s">
        <v>7</v>
      </c>
      <c r="C19" s="2">
        <f>25</f>
        <v>25</v>
      </c>
      <c r="D19" s="7">
        <v>6.0</v>
      </c>
      <c r="E19" s="2" t="s">
        <v>37</v>
      </c>
      <c r="F19" s="7">
        <v>8.0</v>
      </c>
      <c r="G19" s="2">
        <v>125.0</v>
      </c>
      <c r="H19" s="7">
        <v>10.0</v>
      </c>
      <c r="I19" s="2">
        <v>150.0</v>
      </c>
    </row>
    <row r="20">
      <c r="B20" s="6" t="s">
        <v>8</v>
      </c>
      <c r="C20" s="2"/>
      <c r="D20" s="7">
        <v>7.0</v>
      </c>
      <c r="E20" s="2"/>
      <c r="F20" s="7">
        <v>11.0</v>
      </c>
      <c r="G20" s="2">
        <v>175.0</v>
      </c>
      <c r="H20" s="7">
        <v>11.0</v>
      </c>
      <c r="I20" s="2">
        <v>175.0</v>
      </c>
    </row>
    <row r="21">
      <c r="B21" s="6" t="s">
        <v>9</v>
      </c>
      <c r="C21" s="2">
        <v>175.0</v>
      </c>
      <c r="D21" s="7">
        <v>4.0</v>
      </c>
      <c r="E21" s="2">
        <v>100.0</v>
      </c>
      <c r="F21" s="7">
        <v>5.0</v>
      </c>
      <c r="G21" s="2"/>
      <c r="H21" s="7">
        <v>12.0</v>
      </c>
      <c r="I21" s="2">
        <v>275.0</v>
      </c>
    </row>
    <row r="22">
      <c r="B22" s="6" t="s">
        <v>10</v>
      </c>
      <c r="C22" s="2">
        <v>200.0</v>
      </c>
      <c r="D22" s="30"/>
      <c r="E22" s="2">
        <v>100.0</v>
      </c>
      <c r="F22" s="30"/>
      <c r="G22" s="2">
        <v>300.0</v>
      </c>
      <c r="H22" s="30"/>
      <c r="I22" s="1"/>
    </row>
    <row r="24">
      <c r="A24" s="27" t="s">
        <v>38</v>
      </c>
    </row>
    <row r="26">
      <c r="A26" s="34">
        <v>45659.0</v>
      </c>
      <c r="B26" s="27" t="s">
        <v>39</v>
      </c>
      <c r="C26" s="27">
        <f>7-6+8-5+4</f>
        <v>8</v>
      </c>
    </row>
    <row r="27">
      <c r="A27" s="34">
        <v>45690.0</v>
      </c>
      <c r="B27" s="27" t="s">
        <v>40</v>
      </c>
      <c r="C27" s="27">
        <f>11-11+10-6+4-5</f>
        <v>3</v>
      </c>
    </row>
    <row r="28">
      <c r="A28" s="34">
        <v>45719.0</v>
      </c>
      <c r="B28" s="27" t="s">
        <v>41</v>
      </c>
      <c r="C28" s="35">
        <f>12-10+6-4</f>
        <v>4</v>
      </c>
    </row>
    <row r="30">
      <c r="A30" s="27" t="s">
        <v>42</v>
      </c>
      <c r="B30" s="27" t="s">
        <v>43</v>
      </c>
    </row>
    <row r="31">
      <c r="B31" s="27">
        <f>(25*6)+(175*4)+(100*5)+(125*10)+(175*11)</f>
        <v>4525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.13"/>
    <col customWidth="1" min="6" max="6" width="3.13"/>
    <col customWidth="1" min="8" max="8" width="3.13"/>
    <col customWidth="1" min="10" max="10" width="4.88"/>
    <col customWidth="1" min="14" max="14" width="5.0"/>
  </cols>
  <sheetData>
    <row r="1">
      <c r="A1" s="16" t="s">
        <v>44</v>
      </c>
    </row>
    <row r="2">
      <c r="C2" s="27" t="s">
        <v>45</v>
      </c>
      <c r="E2" s="27" t="s">
        <v>46</v>
      </c>
      <c r="G2" s="27" t="s">
        <v>47</v>
      </c>
    </row>
    <row r="3">
      <c r="J3" s="16"/>
      <c r="K3" s="16" t="s">
        <v>48</v>
      </c>
    </row>
    <row r="4">
      <c r="B4" s="1"/>
      <c r="C4" s="2" t="s">
        <v>0</v>
      </c>
      <c r="D4" s="3" t="s">
        <v>1</v>
      </c>
      <c r="E4" s="2" t="s">
        <v>2</v>
      </c>
      <c r="F4" s="3" t="s">
        <v>3</v>
      </c>
      <c r="G4" s="2" t="s">
        <v>4</v>
      </c>
      <c r="H4" s="3" t="s">
        <v>5</v>
      </c>
      <c r="I4" s="2" t="s">
        <v>6</v>
      </c>
      <c r="J4" s="13"/>
      <c r="K4" s="13" t="s">
        <v>49</v>
      </c>
      <c r="L4" s="27" t="s">
        <v>50</v>
      </c>
      <c r="M4" s="27" t="s">
        <v>51</v>
      </c>
      <c r="N4" s="27">
        <v>-1.0</v>
      </c>
    </row>
    <row r="5">
      <c r="A5" s="27" t="s">
        <v>52</v>
      </c>
      <c r="B5" s="6" t="s">
        <v>7</v>
      </c>
      <c r="C5" s="2">
        <v>25.0</v>
      </c>
      <c r="D5" s="7">
        <v>6.0</v>
      </c>
      <c r="E5" s="21">
        <v>0.0</v>
      </c>
      <c r="F5" s="22">
        <v>8.0</v>
      </c>
      <c r="G5" s="23">
        <v>125.0</v>
      </c>
      <c r="H5" s="24">
        <v>10.0</v>
      </c>
      <c r="I5" s="2">
        <v>150.0</v>
      </c>
      <c r="J5" s="13"/>
      <c r="K5" s="13" t="s">
        <v>53</v>
      </c>
      <c r="L5" s="27" t="s">
        <v>54</v>
      </c>
      <c r="M5" s="36" t="s">
        <v>55</v>
      </c>
      <c r="N5" s="27">
        <v>-1.0</v>
      </c>
    </row>
    <row r="6">
      <c r="A6" s="27" t="s">
        <v>56</v>
      </c>
      <c r="B6" s="6" t="s">
        <v>8</v>
      </c>
      <c r="C6" s="2"/>
      <c r="D6" s="7">
        <v>7.0</v>
      </c>
      <c r="E6" s="2"/>
      <c r="F6" s="7">
        <v>11.0</v>
      </c>
      <c r="G6" s="25">
        <v>175.0</v>
      </c>
      <c r="H6" s="26">
        <v>11.0</v>
      </c>
      <c r="I6" s="2">
        <v>175.0</v>
      </c>
      <c r="J6" s="13"/>
      <c r="K6" s="13" t="s">
        <v>57</v>
      </c>
      <c r="L6" s="27" t="s">
        <v>58</v>
      </c>
      <c r="M6" s="36" t="s">
        <v>59</v>
      </c>
      <c r="N6" s="27">
        <v>2.0</v>
      </c>
    </row>
    <row r="7">
      <c r="A7" s="27" t="s">
        <v>60</v>
      </c>
      <c r="B7" s="6" t="s">
        <v>9</v>
      </c>
      <c r="C7" s="17">
        <v>175.0</v>
      </c>
      <c r="D7" s="18">
        <v>4.0</v>
      </c>
      <c r="E7" s="19">
        <v>100.0</v>
      </c>
      <c r="F7" s="20">
        <v>5.0</v>
      </c>
      <c r="G7" s="2"/>
      <c r="H7" s="7">
        <v>12.0</v>
      </c>
      <c r="I7" s="2">
        <v>275.0</v>
      </c>
      <c r="J7" s="13"/>
      <c r="K7" s="13" t="s">
        <v>61</v>
      </c>
      <c r="L7" s="27" t="s">
        <v>62</v>
      </c>
      <c r="M7" s="27" t="s">
        <v>63</v>
      </c>
      <c r="N7" s="27">
        <v>5.0</v>
      </c>
    </row>
    <row r="8">
      <c r="B8" s="6" t="s">
        <v>10</v>
      </c>
      <c r="C8" s="2">
        <v>200.0</v>
      </c>
      <c r="D8" s="30"/>
      <c r="E8" s="2">
        <v>100.0</v>
      </c>
      <c r="F8" s="30"/>
      <c r="G8" s="2">
        <v>300.0</v>
      </c>
      <c r="H8" s="30"/>
      <c r="I8" s="1"/>
    </row>
    <row r="9">
      <c r="K9" s="16" t="s">
        <v>64</v>
      </c>
    </row>
    <row r="10">
      <c r="A10" s="16" t="s">
        <v>65</v>
      </c>
      <c r="K10" s="13" t="s">
        <v>53</v>
      </c>
    </row>
    <row r="12">
      <c r="A12" s="27" t="s">
        <v>66</v>
      </c>
      <c r="B12" s="27" t="s">
        <v>67</v>
      </c>
      <c r="C12" s="27" t="s">
        <v>68</v>
      </c>
      <c r="E12" s="27" t="s">
        <v>69</v>
      </c>
      <c r="G12" s="37" t="s">
        <v>70</v>
      </c>
      <c r="K12" s="16" t="s">
        <v>71</v>
      </c>
    </row>
    <row r="13">
      <c r="A13" s="27" t="s">
        <v>72</v>
      </c>
      <c r="B13" s="27" t="s">
        <v>73</v>
      </c>
      <c r="C13" s="27" t="s">
        <v>74</v>
      </c>
      <c r="E13" s="27" t="s">
        <v>75</v>
      </c>
      <c r="K13" s="37" t="s">
        <v>76</v>
      </c>
    </row>
    <row r="14">
      <c r="A14" s="27" t="s">
        <v>77</v>
      </c>
      <c r="B14" s="27" t="s">
        <v>78</v>
      </c>
      <c r="C14" s="27" t="s">
        <v>79</v>
      </c>
      <c r="E14" s="27" t="s">
        <v>80</v>
      </c>
      <c r="K14" s="27" t="s">
        <v>81</v>
      </c>
      <c r="M14" s="27" t="s">
        <v>82</v>
      </c>
      <c r="N14" s="27">
        <v>200.0</v>
      </c>
    </row>
    <row r="15">
      <c r="A15" s="27" t="s">
        <v>83</v>
      </c>
      <c r="B15" s="27" t="s">
        <v>84</v>
      </c>
      <c r="C15" s="27" t="s">
        <v>85</v>
      </c>
      <c r="E15" s="27" t="s">
        <v>86</v>
      </c>
      <c r="M15" s="27" t="s">
        <v>87</v>
      </c>
      <c r="N15" s="27">
        <v>25.0</v>
      </c>
    </row>
    <row r="16">
      <c r="A16" s="27" t="s">
        <v>88</v>
      </c>
      <c r="B16" s="27" t="s">
        <v>89</v>
      </c>
      <c r="C16" s="27" t="s">
        <v>90</v>
      </c>
      <c r="E16" s="27" t="s">
        <v>91</v>
      </c>
      <c r="M16" s="27" t="s">
        <v>92</v>
      </c>
      <c r="N16" s="27">
        <v>175.0</v>
      </c>
    </row>
    <row r="17">
      <c r="K17" s="27" t="s">
        <v>93</v>
      </c>
    </row>
    <row r="18">
      <c r="C18" s="27" t="s">
        <v>45</v>
      </c>
      <c r="E18" s="27" t="s">
        <v>46</v>
      </c>
      <c r="G18" s="27" t="s">
        <v>47</v>
      </c>
    </row>
    <row r="19">
      <c r="B19" s="1"/>
      <c r="C19" s="2" t="s">
        <v>0</v>
      </c>
      <c r="D19" s="3" t="s">
        <v>1</v>
      </c>
      <c r="E19" s="2" t="s">
        <v>2</v>
      </c>
      <c r="F19" s="3" t="s">
        <v>3</v>
      </c>
      <c r="G19" s="2" t="s">
        <v>4</v>
      </c>
      <c r="H19" s="3" t="s">
        <v>5</v>
      </c>
      <c r="I19" s="2" t="s">
        <v>6</v>
      </c>
      <c r="K19" s="16" t="s">
        <v>48</v>
      </c>
    </row>
    <row r="20">
      <c r="A20" s="27" t="s">
        <v>52</v>
      </c>
      <c r="B20" s="6" t="s">
        <v>7</v>
      </c>
      <c r="C20" s="2"/>
      <c r="D20" s="7">
        <v>6.0</v>
      </c>
      <c r="E20" s="23">
        <v>0.0</v>
      </c>
      <c r="F20" s="24">
        <v>8.0</v>
      </c>
      <c r="G20" s="25">
        <v>150.0</v>
      </c>
      <c r="H20" s="26">
        <v>10.0</v>
      </c>
      <c r="I20" s="2">
        <v>150.0</v>
      </c>
      <c r="K20" s="13" t="s">
        <v>49</v>
      </c>
      <c r="L20" s="27" t="s">
        <v>50</v>
      </c>
      <c r="M20" s="27" t="s">
        <v>94</v>
      </c>
      <c r="N20" s="27">
        <v>0.0</v>
      </c>
    </row>
    <row r="21">
      <c r="A21" s="27" t="s">
        <v>56</v>
      </c>
      <c r="B21" s="6" t="s">
        <v>8</v>
      </c>
      <c r="C21" s="17">
        <v>25.0</v>
      </c>
      <c r="D21" s="18">
        <v>7.0</v>
      </c>
      <c r="E21" s="2"/>
      <c r="F21" s="7">
        <v>11.0</v>
      </c>
      <c r="G21" s="38">
        <v>150.0</v>
      </c>
      <c r="H21" s="39">
        <v>11.0</v>
      </c>
      <c r="I21" s="2">
        <v>175.0</v>
      </c>
      <c r="K21" s="13" t="s">
        <v>95</v>
      </c>
      <c r="L21" s="27" t="s">
        <v>96</v>
      </c>
      <c r="M21" s="36" t="s">
        <v>97</v>
      </c>
      <c r="N21" s="27">
        <v>1.0</v>
      </c>
    </row>
    <row r="22">
      <c r="A22" s="27" t="s">
        <v>60</v>
      </c>
      <c r="B22" s="6" t="s">
        <v>9</v>
      </c>
      <c r="C22" s="19">
        <v>175.0</v>
      </c>
      <c r="D22" s="20">
        <v>4.0</v>
      </c>
      <c r="E22" s="21">
        <v>100.0</v>
      </c>
      <c r="F22" s="22">
        <v>5.0</v>
      </c>
      <c r="G22" s="2"/>
      <c r="H22" s="7">
        <v>12.0</v>
      </c>
      <c r="I22" s="2">
        <v>275.0</v>
      </c>
      <c r="K22" s="13" t="s">
        <v>57</v>
      </c>
      <c r="L22" s="27" t="s">
        <v>58</v>
      </c>
      <c r="M22" s="36" t="s">
        <v>98</v>
      </c>
      <c r="N22" s="27">
        <v>3.0</v>
      </c>
    </row>
    <row r="23">
      <c r="B23" s="6" t="s">
        <v>10</v>
      </c>
      <c r="C23" s="2">
        <v>200.0</v>
      </c>
      <c r="D23" s="30"/>
      <c r="E23" s="2">
        <v>100.0</v>
      </c>
      <c r="F23" s="30"/>
      <c r="G23" s="2">
        <v>300.0</v>
      </c>
      <c r="H23" s="30"/>
      <c r="I23" s="1"/>
      <c r="K23" s="13" t="s">
        <v>61</v>
      </c>
      <c r="L23" s="27" t="s">
        <v>62</v>
      </c>
      <c r="M23" s="27" t="s">
        <v>99</v>
      </c>
      <c r="N23" s="27">
        <v>4.0</v>
      </c>
    </row>
    <row r="25">
      <c r="A25" s="16" t="s">
        <v>65</v>
      </c>
      <c r="K25" s="16" t="s">
        <v>100</v>
      </c>
    </row>
    <row r="27">
      <c r="A27" s="27" t="s">
        <v>72</v>
      </c>
      <c r="B27" s="27" t="s">
        <v>73</v>
      </c>
      <c r="C27" s="27" t="s">
        <v>74</v>
      </c>
      <c r="E27" s="27" t="s">
        <v>75</v>
      </c>
    </row>
    <row r="28">
      <c r="A28" s="27" t="s">
        <v>77</v>
      </c>
      <c r="B28" s="27" t="s">
        <v>78</v>
      </c>
      <c r="C28" s="27" t="s">
        <v>79</v>
      </c>
      <c r="E28" s="27" t="s">
        <v>80</v>
      </c>
      <c r="K28" s="27" t="s">
        <v>42</v>
      </c>
    </row>
    <row r="29">
      <c r="A29" s="27" t="s">
        <v>101</v>
      </c>
      <c r="B29" s="27" t="s">
        <v>102</v>
      </c>
      <c r="C29" s="27" t="s">
        <v>103</v>
      </c>
      <c r="E29" s="27" t="s">
        <v>104</v>
      </c>
      <c r="K29" s="27" t="s">
        <v>105</v>
      </c>
    </row>
    <row r="30">
      <c r="A30" s="27" t="s">
        <v>83</v>
      </c>
      <c r="B30" s="27" t="s">
        <v>84</v>
      </c>
      <c r="C30" s="27" t="s">
        <v>106</v>
      </c>
      <c r="E30" s="27" t="s">
        <v>107</v>
      </c>
      <c r="K30" s="27">
        <f>(150*10)+(25*7)+(150*11)+(175*4)+(100*5)</f>
        <v>4525</v>
      </c>
    </row>
    <row r="31">
      <c r="A31" s="27" t="s">
        <v>88</v>
      </c>
      <c r="B31" s="27" t="s">
        <v>89</v>
      </c>
      <c r="C31" s="27" t="s">
        <v>108</v>
      </c>
      <c r="E31" s="27" t="s">
        <v>109</v>
      </c>
    </row>
    <row r="34">
      <c r="B34" s="1"/>
      <c r="C34" s="2" t="s">
        <v>0</v>
      </c>
      <c r="D34" s="3" t="s">
        <v>1</v>
      </c>
      <c r="E34" s="2" t="s">
        <v>2</v>
      </c>
      <c r="F34" s="3" t="s">
        <v>3</v>
      </c>
      <c r="G34" s="2" t="s">
        <v>4</v>
      </c>
      <c r="H34" s="3" t="s">
        <v>5</v>
      </c>
      <c r="I34" s="2" t="s">
        <v>6</v>
      </c>
      <c r="K34" s="27" t="s">
        <v>95</v>
      </c>
      <c r="L34" s="27" t="s">
        <v>96</v>
      </c>
      <c r="M34" s="27" t="s">
        <v>97</v>
      </c>
      <c r="N34" s="27">
        <v>1.0</v>
      </c>
    </row>
    <row r="35">
      <c r="B35" s="6" t="s">
        <v>7</v>
      </c>
      <c r="C35" s="2">
        <v>25.0</v>
      </c>
      <c r="D35" s="7">
        <v>6.0</v>
      </c>
      <c r="E35" s="21">
        <v>0.0</v>
      </c>
      <c r="F35" s="22">
        <v>8.0</v>
      </c>
      <c r="G35" s="23">
        <v>125.0</v>
      </c>
      <c r="H35" s="24">
        <v>10.0</v>
      </c>
      <c r="I35" s="2">
        <v>150.0</v>
      </c>
      <c r="K35" s="27" t="s">
        <v>53</v>
      </c>
      <c r="L35" s="27" t="s">
        <v>110</v>
      </c>
      <c r="M35" s="37" t="s">
        <v>111</v>
      </c>
      <c r="N35" s="27">
        <v>0.0</v>
      </c>
    </row>
    <row r="36">
      <c r="B36" s="6" t="s">
        <v>8</v>
      </c>
      <c r="C36" s="2"/>
      <c r="D36" s="7">
        <v>7.0</v>
      </c>
      <c r="E36" s="2"/>
      <c r="F36" s="7">
        <v>11.0</v>
      </c>
      <c r="G36" s="25">
        <v>175.0</v>
      </c>
      <c r="H36" s="26">
        <v>11.0</v>
      </c>
      <c r="I36" s="2">
        <v>175.0</v>
      </c>
      <c r="K36" s="27" t="s">
        <v>57</v>
      </c>
      <c r="L36" s="27" t="s">
        <v>112</v>
      </c>
      <c r="M36" s="37" t="s">
        <v>98</v>
      </c>
      <c r="N36" s="27">
        <v>3.0</v>
      </c>
    </row>
    <row r="37">
      <c r="B37" s="6" t="s">
        <v>9</v>
      </c>
      <c r="C37" s="17">
        <v>175.0</v>
      </c>
      <c r="D37" s="18">
        <v>4.0</v>
      </c>
      <c r="E37" s="19">
        <v>100.0</v>
      </c>
      <c r="F37" s="20">
        <v>5.0</v>
      </c>
      <c r="G37" s="2"/>
      <c r="H37" s="7">
        <v>12.0</v>
      </c>
      <c r="I37" s="2">
        <v>275.0</v>
      </c>
      <c r="K37" s="27" t="s">
        <v>61</v>
      </c>
      <c r="L37" s="27" t="s">
        <v>113</v>
      </c>
      <c r="M37" s="27" t="s">
        <v>114</v>
      </c>
      <c r="N37" s="27">
        <v>2.0</v>
      </c>
    </row>
    <row r="38">
      <c r="B38" s="6" t="s">
        <v>10</v>
      </c>
      <c r="C38" s="2">
        <v>200.0</v>
      </c>
      <c r="D38" s="30"/>
      <c r="E38" s="2">
        <v>100.0</v>
      </c>
      <c r="F38" s="30"/>
      <c r="G38" s="2">
        <v>300.0</v>
      </c>
      <c r="H38" s="30"/>
      <c r="I38" s="1"/>
    </row>
    <row r="40">
      <c r="A40" s="34">
        <v>45658.0</v>
      </c>
      <c r="B40" s="27" t="s">
        <v>115</v>
      </c>
      <c r="C40" s="27" t="s">
        <v>116</v>
      </c>
      <c r="E40" s="27" t="s">
        <v>104</v>
      </c>
      <c r="G40" s="35">
        <f>(25*6)+(175*4)+(100*5)+(125*10)+(175*11)</f>
        <v>4525</v>
      </c>
    </row>
    <row r="41">
      <c r="A41" s="34">
        <v>45717.0</v>
      </c>
      <c r="B41" s="27" t="s">
        <v>73</v>
      </c>
      <c r="C41" s="27" t="s">
        <v>74</v>
      </c>
      <c r="E41" s="27" t="s">
        <v>75</v>
      </c>
    </row>
    <row r="42">
      <c r="A42" s="34">
        <v>45718.0</v>
      </c>
      <c r="B42" s="27" t="s">
        <v>78</v>
      </c>
      <c r="C42" s="27" t="s">
        <v>79</v>
      </c>
      <c r="E42" s="27" t="s">
        <v>80</v>
      </c>
    </row>
    <row r="43">
      <c r="A43" s="34">
        <v>45660.0</v>
      </c>
      <c r="B43" s="27" t="s">
        <v>84</v>
      </c>
      <c r="C43" s="27" t="s">
        <v>106</v>
      </c>
      <c r="E43" s="27" t="s">
        <v>117</v>
      </c>
    </row>
    <row r="44">
      <c r="A44" s="34">
        <v>45691.0</v>
      </c>
      <c r="B44" s="27" t="s">
        <v>89</v>
      </c>
      <c r="C44" s="27" t="s">
        <v>108</v>
      </c>
      <c r="E44" s="27" t="s">
        <v>109</v>
      </c>
    </row>
  </sheetData>
  <drawing r:id="rId1"/>
</worksheet>
</file>